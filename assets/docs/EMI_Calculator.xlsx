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ATAProjects\carProject\cms_backend\emi_calculator\"/>
    </mc:Choice>
  </mc:AlternateContent>
  <bookViews>
    <workbookView xWindow="0" yWindow="0" windowWidth="16815" windowHeight="7755"/>
  </bookViews>
  <sheets>
    <sheet name="Car EMI" sheetId="3" r:id="rId1"/>
    <sheet name="EMI" sheetId="4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F4" i="3"/>
  <c r="G3" i="3"/>
  <c r="E10" i="3"/>
  <c r="G4" i="3" l="1"/>
  <c r="B3" i="4"/>
  <c r="B6" i="4" l="1"/>
  <c r="D3" i="4" s="1"/>
  <c r="C17" i="3"/>
  <c r="G5" i="3"/>
  <c r="D4" i="4" l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l="1"/>
  <c r="D78" i="4" l="1"/>
  <c r="D79" i="4" l="1"/>
  <c r="D80" i="4" l="1"/>
  <c r="D81" i="4" l="1"/>
  <c r="D82" i="4" l="1"/>
  <c r="D83" i="4" l="1"/>
  <c r="D84" i="4" l="1"/>
  <c r="D85" i="4" l="1"/>
  <c r="D86" i="4" l="1"/>
  <c r="D87" i="4" s="1"/>
  <c r="D88" i="4" l="1"/>
  <c r="D89" i="4" l="1"/>
  <c r="D90" i="4" l="1"/>
  <c r="D91" i="4" l="1"/>
  <c r="D92" i="4" l="1"/>
  <c r="D93" i="4" l="1"/>
  <c r="D94" i="4" l="1"/>
  <c r="D95" i="4" l="1"/>
  <c r="D96" i="4" l="1"/>
  <c r="D97" i="4" l="1"/>
  <c r="D98" i="4" l="1"/>
  <c r="D99" i="4" l="1"/>
  <c r="D100" i="4" l="1"/>
  <c r="D101" i="4" l="1"/>
  <c r="D102" i="4" l="1"/>
  <c r="D103" i="4" l="1"/>
  <c r="D104" i="4" l="1"/>
  <c r="D105" i="4" l="1"/>
  <c r="D106" i="4" l="1"/>
  <c r="D107" i="4" l="1"/>
  <c r="D108" i="4" l="1"/>
  <c r="D109" i="4" l="1"/>
  <c r="D110" i="4" l="1"/>
  <c r="D111" i="4" l="1"/>
  <c r="D112" i="4" l="1"/>
  <c r="D113" i="4" l="1"/>
  <c r="D114" i="4" l="1"/>
  <c r="D115" i="4" l="1"/>
  <c r="D116" i="4" l="1"/>
  <c r="D117" i="4" l="1"/>
  <c r="D118" i="4" l="1"/>
  <c r="D119" i="4" l="1"/>
  <c r="D120" i="4" l="1"/>
  <c r="D121" i="4" l="1"/>
  <c r="D122" i="4" l="1"/>
  <c r="G9" i="3" l="1"/>
  <c r="G8" i="3"/>
  <c r="G7" i="3"/>
  <c r="G6" i="3"/>
  <c r="B2" i="4" l="1"/>
  <c r="G10" i="3" l="1"/>
  <c r="F10" i="3"/>
  <c r="E2" i="4" l="1"/>
  <c r="I2" i="4" s="1"/>
  <c r="B5" i="4"/>
  <c r="B7" i="4" s="1"/>
  <c r="B9" i="4" s="1"/>
  <c r="E62" i="4" l="1"/>
  <c r="G2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75" i="4"/>
  <c r="E76" i="4"/>
  <c r="E77" i="4"/>
  <c r="E78" i="4"/>
  <c r="E79" i="4"/>
  <c r="E80" i="4"/>
  <c r="E81" i="4"/>
  <c r="E82" i="4"/>
  <c r="E83" i="4"/>
  <c r="E84" i="4"/>
  <c r="E85" i="4"/>
  <c r="E86" i="4"/>
  <c r="E63" i="4"/>
  <c r="E64" i="4"/>
  <c r="E65" i="4"/>
  <c r="E66" i="4"/>
  <c r="E67" i="4"/>
  <c r="E68" i="4"/>
  <c r="E69" i="4"/>
  <c r="E70" i="4"/>
  <c r="E71" i="4"/>
  <c r="E72" i="4"/>
  <c r="E73" i="4"/>
  <c r="E74" i="4"/>
  <c r="E57" i="4" l="1"/>
  <c r="E49" i="4"/>
  <c r="E41" i="4"/>
  <c r="E33" i="4"/>
  <c r="E17" i="4"/>
  <c r="E47" i="4"/>
  <c r="E23" i="4"/>
  <c r="E6" i="4"/>
  <c r="E45" i="4"/>
  <c r="E21" i="4"/>
  <c r="E13" i="4"/>
  <c r="E5" i="4"/>
  <c r="E60" i="4"/>
  <c r="E52" i="4"/>
  <c r="E44" i="4"/>
  <c r="E36" i="4"/>
  <c r="E28" i="4"/>
  <c r="E20" i="4"/>
  <c r="E9" i="4"/>
  <c r="E25" i="4"/>
  <c r="E3" i="4"/>
  <c r="B17" i="3" s="1"/>
  <c r="E11" i="3" s="1"/>
  <c r="E12" i="3" s="1"/>
  <c r="E55" i="4"/>
  <c r="E31" i="4"/>
  <c r="E54" i="4"/>
  <c r="E46" i="4"/>
  <c r="E38" i="4"/>
  <c r="E30" i="4"/>
  <c r="E22" i="4"/>
  <c r="E10" i="4"/>
  <c r="E53" i="4"/>
  <c r="E29" i="4"/>
  <c r="E59" i="4"/>
  <c r="E51" i="4"/>
  <c r="E43" i="4"/>
  <c r="E35" i="4"/>
  <c r="E27" i="4"/>
  <c r="E19" i="4"/>
  <c r="E12" i="4"/>
  <c r="E4" i="4"/>
  <c r="E39" i="4"/>
  <c r="E15" i="4"/>
  <c r="E14" i="4"/>
  <c r="E61" i="4"/>
  <c r="E37" i="4"/>
  <c r="E58" i="4"/>
  <c r="E50" i="4"/>
  <c r="E42" i="4"/>
  <c r="E34" i="4"/>
  <c r="E26" i="4"/>
  <c r="E18" i="4"/>
  <c r="E8" i="4"/>
  <c r="E56" i="4"/>
  <c r="E48" i="4"/>
  <c r="E40" i="4"/>
  <c r="E32" i="4"/>
  <c r="E24" i="4"/>
  <c r="E16" i="4"/>
  <c r="E11" i="4"/>
  <c r="E7" i="4"/>
  <c r="F2" i="4" l="1"/>
  <c r="G3" i="4" s="1"/>
  <c r="G4" i="4" s="1"/>
  <c r="G5" i="4" s="1"/>
  <c r="G6" i="4" s="1"/>
  <c r="G11" i="3"/>
  <c r="G12" i="3" s="1"/>
  <c r="G13" i="3" s="1"/>
  <c r="F11" i="3"/>
  <c r="F12" i="3" s="1"/>
  <c r="F13" i="3" s="1"/>
  <c r="G7" i="4" l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I6" i="4"/>
  <c r="J6" i="4" s="1"/>
  <c r="G16" i="3"/>
  <c r="G14" i="3"/>
  <c r="G17" i="3" l="1"/>
</calcChain>
</file>

<file path=xl/sharedStrings.xml><?xml version="1.0" encoding="utf-8"?>
<sst xmlns="http://schemas.openxmlformats.org/spreadsheetml/2006/main" count="64" uniqueCount="45">
  <si>
    <t>Ex-showroom</t>
  </si>
  <si>
    <t>Insurance</t>
  </si>
  <si>
    <t>Regn</t>
  </si>
  <si>
    <t>Accessories</t>
  </si>
  <si>
    <t>Eligibility</t>
  </si>
  <si>
    <t>EMI</t>
  </si>
  <si>
    <t>Total outgoing pm</t>
  </si>
  <si>
    <t>borne by Company</t>
  </si>
  <si>
    <t>Borne by employee</t>
  </si>
  <si>
    <t xml:space="preserve"> </t>
  </si>
  <si>
    <t>for EMI calculatin</t>
  </si>
  <si>
    <t>Discount</t>
  </si>
  <si>
    <t>Total</t>
  </si>
  <si>
    <t xml:space="preserve">Total EMI= TC </t>
  </si>
  <si>
    <t xml:space="preserve">Car Allowance </t>
  </si>
  <si>
    <t>Company Contribution</t>
  </si>
  <si>
    <t>Misc Charges</t>
  </si>
  <si>
    <t>Ext warranty</t>
  </si>
  <si>
    <t>Tenure</t>
  </si>
  <si>
    <t>Car Cost (incl everything)</t>
  </si>
  <si>
    <t>Interest Rate</t>
  </si>
  <si>
    <t>Recovery (in %)</t>
  </si>
  <si>
    <t>Recovery (in ₹)</t>
  </si>
  <si>
    <t>EMI Month</t>
  </si>
  <si>
    <t>FV</t>
  </si>
  <si>
    <t>Per Lac EMI</t>
  </si>
  <si>
    <t>For 5 years</t>
  </si>
  <si>
    <t>For 3 years</t>
  </si>
  <si>
    <t>For 4 years</t>
  </si>
  <si>
    <t>For 6 years</t>
  </si>
  <si>
    <t>For 7 years</t>
  </si>
  <si>
    <t>For 8 years</t>
  </si>
  <si>
    <t>For 9 years</t>
  </si>
  <si>
    <t>For 10 years</t>
  </si>
  <si>
    <t>For 2 years</t>
  </si>
  <si>
    <t>For 1 year</t>
  </si>
  <si>
    <t>For Specific months</t>
  </si>
  <si>
    <t>For Specific Months</t>
  </si>
  <si>
    <t>Yes</t>
  </si>
  <si>
    <t>No</t>
  </si>
  <si>
    <t xml:space="preserve">Deduct/(Pay) from/(to) Flexi </t>
  </si>
  <si>
    <t>Amount Recoverable</t>
  </si>
  <si>
    <t>Date</t>
  </si>
  <si>
    <t>Amount</t>
  </si>
  <si>
    <t>Depreciation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</si>
</sst>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 * #,##0_ ;_ * \-#,##0_ ;_ * &quot;-&quot;_ ;_ @_ "/>
    <numFmt numFmtId="43" formatCode="_ * #,##0.00_ ;_ * \-#,##0.00_ ;_ * &quot;-&quot;??_ ;_ @_ "/>
    <numFmt numFmtId="164" formatCode="&quot;₹&quot;\ #,##0.00_);[Red]\(&quot;₹&quot;\ #,##0.00\)"/>
    <numFmt numFmtId="165" formatCode="_(* #,##0_);_(* \(#,##0\);_(* &quot;-&quot;_);_(@_)"/>
    <numFmt numFmtId="166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7365D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9">
    <xf numFmtId="0" fontId="0" fillId="0" borderId="0" xfId="0"/>
    <xf numFmtId="1" fontId="0" fillId="0" borderId="0" xfId="0" applyNumberFormat="1"/>
    <xf numFmtId="0" fontId="2" fillId="0" borderId="0" xfId="0" applyFont="1" applyAlignment="1">
      <alignment vertical="center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10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0" borderId="0" xfId="9" applyFont="1"/>
    <xf numFmtId="14" fontId="0" fillId="0" borderId="0" xfId="0" applyNumberFormat="1"/>
    <xf numFmtId="164" fontId="0" fillId="0" borderId="0" xfId="0" applyNumberFormat="1"/>
    <xf numFmtId="10" fontId="0" fillId="0" borderId="0" xfId="10" applyNumberFormat="1" applyFont="1"/>
    <xf numFmtId="165" fontId="0" fillId="0" borderId="1" xfId="0" applyNumberFormat="1" applyBorder="1"/>
    <xf numFmtId="165" fontId="0" fillId="3" borderId="1" xfId="0" applyNumberFormat="1" applyFill="1" applyBorder="1"/>
    <xf numFmtId="165" fontId="0" fillId="2" borderId="1" xfId="0" applyNumberFormat="1" applyFill="1" applyBorder="1"/>
    <xf numFmtId="165" fontId="0" fillId="4" borderId="1" xfId="0" applyNumberFormat="1" applyFill="1" applyBorder="1"/>
    <xf numFmtId="165" fontId="1" fillId="0" borderId="1" xfId="0" applyNumberFormat="1" applyFont="1" applyBorder="1"/>
    <xf numFmtId="165" fontId="3" fillId="0" borderId="1" xfId="0" applyNumberFormat="1" applyFont="1" applyBorder="1"/>
    <xf numFmtId="165" fontId="4" fillId="0" borderId="1" xfId="0" applyNumberFormat="1" applyFont="1" applyBorder="1"/>
    <xf numFmtId="0" fontId="8" fillId="6" borderId="0" xfId="0" applyFont="1" applyFill="1"/>
    <xf numFmtId="166" fontId="8" fillId="6" borderId="0" xfId="9" applyFont="1" applyFill="1"/>
    <xf numFmtId="165" fontId="0" fillId="5" borderId="0" xfId="0" applyNumberFormat="1" applyFill="1"/>
    <xf numFmtId="165" fontId="0" fillId="5" borderId="1" xfId="0" applyNumberFormat="1" applyFill="1" applyBorder="1"/>
    <xf numFmtId="0" fontId="0" fillId="5" borderId="0" xfId="0" applyFill="1"/>
    <xf numFmtId="41" fontId="0" fillId="0" borderId="0" xfId="9" applyNumberFormat="1" applyFont="1"/>
    <xf numFmtId="41" fontId="0" fillId="0" borderId="0" xfId="0" applyNumberFormat="1"/>
    <xf numFmtId="43" fontId="0" fillId="0" borderId="0" xfId="0" applyNumberFormat="1"/>
  </cellXfs>
  <cellStyles count="11">
    <cellStyle name="Comma" xfId="9" builtinId="3"/>
    <cellStyle name="Comma 2" xfId="2"/>
    <cellStyle name="Comma 2 2" xfId="5"/>
    <cellStyle name="Comma 2 3" xfId="6"/>
    <cellStyle name="Comma 3" xfId="4"/>
    <cellStyle name="Comma 3 2" xfId="7"/>
    <cellStyle name="Comma 4" xfId="8"/>
    <cellStyle name="Normal" xfId="0" builtinId="0"/>
    <cellStyle name="Normal 2" xfId="1"/>
    <cellStyle name="Normal 3" xfId="3"/>
    <cellStyle name="Percent" xfId="1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tabSelected="1" zoomScaleNormal="100" workbookViewId="0">
      <selection activeCell="C11" sqref="C11"/>
    </sheetView>
  </sheetViews>
  <sheetFormatPr defaultRowHeight="15" x14ac:dyDescent="0.25"/>
  <cols>
    <col min="1" max="1" width="18.5703125" bestFit="1" customWidth="1"/>
    <col min="2" max="2" width="11.5703125" bestFit="1" customWidth="1"/>
    <col min="3" max="3" width="13.28515625" bestFit="1" customWidth="1"/>
    <col min="4" max="4" width="27.28515625" bestFit="1" customWidth="1"/>
    <col min="5" max="5" width="16.42578125" bestFit="1" customWidth="1"/>
    <col min="6" max="6" width="17.85546875" bestFit="1" customWidth="1"/>
    <col min="7" max="7" width="18.5703125" bestFit="1" customWidth="1"/>
    <col min="8" max="8" width="12.28515625" bestFit="1" customWidth="1"/>
    <col min="9" max="9" width="9.5703125" bestFit="1" customWidth="1"/>
    <col min="10" max="10" width="11.85546875" bestFit="1" customWidth="1"/>
  </cols>
  <sheetData>
    <row r="1" spans="1:20" x14ac:dyDescent="0.25">
      <c r="E1" t="s">
        <v>9</v>
      </c>
      <c r="T1" t="s">
        <v>38</v>
      </c>
    </row>
    <row r="2" spans="1:20" x14ac:dyDescent="0.25">
      <c r="A2" s="5" t="s">
        <v>4</v>
      </c>
      <c r="B2" s="23">
        <v>800000</v>
      </c>
      <c r="D2" s="3"/>
      <c r="E2" s="4" t="s">
        <v>10</v>
      </c>
      <c r="F2" s="4" t="s">
        <v>7</v>
      </c>
      <c r="G2" s="4" t="s">
        <v>8</v>
      </c>
      <c r="T2" t="s">
        <v>39</v>
      </c>
    </row>
    <row r="3" spans="1:20" x14ac:dyDescent="0.25">
      <c r="A3" s="5" t="s">
        <v>18</v>
      </c>
      <c r="B3" s="23">
        <v>5</v>
      </c>
      <c r="D3" s="3" t="s">
        <v>0</v>
      </c>
      <c r="E3" s="24">
        <v>1570000</v>
      </c>
      <c r="F3" s="14"/>
      <c r="G3" s="14">
        <f>E3</f>
        <v>1570000</v>
      </c>
    </row>
    <row r="4" spans="1:20" x14ac:dyDescent="0.25">
      <c r="A4" t="s">
        <v>37</v>
      </c>
      <c r="B4" s="25" t="s">
        <v>39</v>
      </c>
      <c r="D4" s="3" t="s">
        <v>1</v>
      </c>
      <c r="E4" s="24">
        <v>44960</v>
      </c>
      <c r="F4" s="15">
        <f>IFERROR(MIN(E4,(E4*B2)/E3),0)</f>
        <v>22909.554140127388</v>
      </c>
      <c r="G4" s="16">
        <f>E4-F4</f>
        <v>22050.445859872612</v>
      </c>
      <c r="J4" t="s">
        <v>9</v>
      </c>
      <c r="K4" t="s">
        <v>9</v>
      </c>
    </row>
    <row r="5" spans="1:20" x14ac:dyDescent="0.25">
      <c r="D5" s="3" t="s">
        <v>2</v>
      </c>
      <c r="E5" s="24">
        <v>352238</v>
      </c>
      <c r="F5" s="17">
        <f>IFERROR(MIN(E5,(E5*B2)/E3),0)</f>
        <v>179484.33121019107</v>
      </c>
      <c r="G5" s="16">
        <f>E5-F5</f>
        <v>172753.66878980893</v>
      </c>
      <c r="I5" s="1"/>
      <c r="J5" t="s">
        <v>9</v>
      </c>
      <c r="K5" t="s">
        <v>9</v>
      </c>
    </row>
    <row r="6" spans="1:20" ht="15" customHeight="1" x14ac:dyDescent="0.25">
      <c r="D6" s="3" t="s">
        <v>3</v>
      </c>
      <c r="E6" s="24">
        <v>0</v>
      </c>
      <c r="F6" s="14"/>
      <c r="G6" s="14">
        <f>E6</f>
        <v>0</v>
      </c>
    </row>
    <row r="7" spans="1:20" x14ac:dyDescent="0.25">
      <c r="A7" s="21" t="s">
        <v>25</v>
      </c>
      <c r="B7" s="22">
        <v>7858.4494306195429</v>
      </c>
      <c r="C7" t="s">
        <v>35</v>
      </c>
      <c r="D7" s="3" t="s">
        <v>17</v>
      </c>
      <c r="E7" s="24">
        <v>0</v>
      </c>
      <c r="F7" s="14"/>
      <c r="G7" s="14">
        <f>E7</f>
        <v>0</v>
      </c>
    </row>
    <row r="8" spans="1:20" x14ac:dyDescent="0.25">
      <c r="A8" s="21" t="s">
        <v>25</v>
      </c>
      <c r="B8" s="22">
        <v>4100.4026649392772</v>
      </c>
      <c r="C8" t="s">
        <v>34</v>
      </c>
      <c r="D8" s="3" t="s">
        <v>16</v>
      </c>
      <c r="E8" s="24">
        <v>0</v>
      </c>
      <c r="F8" s="14"/>
      <c r="G8" s="14">
        <f>E8</f>
        <v>0</v>
      </c>
    </row>
    <row r="9" spans="1:20" x14ac:dyDescent="0.25">
      <c r="A9" s="21" t="s">
        <v>25</v>
      </c>
      <c r="B9" s="22">
        <v>2849.9</v>
      </c>
      <c r="C9" t="s">
        <v>27</v>
      </c>
      <c r="D9" s="3" t="s">
        <v>11</v>
      </c>
      <c r="E9" s="24">
        <v>0</v>
      </c>
      <c r="F9" s="14"/>
      <c r="G9" s="14">
        <f>E9</f>
        <v>0</v>
      </c>
    </row>
    <row r="10" spans="1:20" x14ac:dyDescent="0.25">
      <c r="A10" s="21" t="s">
        <v>25</v>
      </c>
      <c r="B10" s="22">
        <v>2226.2800000000002</v>
      </c>
      <c r="C10" t="s">
        <v>28</v>
      </c>
      <c r="D10" s="3"/>
      <c r="E10" s="18">
        <f>SUM(E3:E8)-E9</f>
        <v>1967198</v>
      </c>
      <c r="F10" s="18">
        <f>SUM(F3:F8)-F9</f>
        <v>202393.88535031845</v>
      </c>
      <c r="G10" s="18">
        <f>SUM(G3:G8)-G9</f>
        <v>1764804.1146496814</v>
      </c>
    </row>
    <row r="11" spans="1:20" x14ac:dyDescent="0.25">
      <c r="A11" s="21" t="s">
        <v>25</v>
      </c>
      <c r="B11" s="22">
        <v>1853.41</v>
      </c>
      <c r="C11" t="s">
        <v>26</v>
      </c>
      <c r="D11" s="3" t="s">
        <v>5</v>
      </c>
      <c r="E11" s="14">
        <f>IF($B$4="Yes",E10/100000*$B$17,IF($B$3=10,E10/100000*$B$16,IF($B$3=9,E10/100000*$B$15,IF($B$3=8,E10/100000*$B$14,IF($B$3=7,E10/100000*$B$13,IF($B$3=6,E10/100000*$B$12,IF($B$3=5,E10/100000*$B$11,IF($B$3=4,E10/100000*$B$10,IF($B$3=3,E10/100000*$B$9,IF($B$3=2,E10/100000*$B$8,IF($B$3=1,E10/100000*$B$7,0)))))))))))</f>
        <v>36460.244451800005</v>
      </c>
      <c r="F11" s="14">
        <f t="shared" ref="F11:G11" si="0">IF($B$4="Yes",F10/100000*$B$17,IF($B$3=10,F10/100000*$B$16,IF($B$3=9,F10/100000*$B$15,IF($B$3=8,F10/100000*$B$14,IF($B$3=7,F10/100000*$B$13,IF($B$3=6,F10/100000*$B$12,IF($B$3=5,F10/100000*$B$11,IF($B$3=4,F10/100000*$B$10,IF($B$3=3,F10/100000*$B$9,IF($B$3=2,F10/100000*$B$8,IF($B$3=1,F10/100000*$B$7,0)))))))))))</f>
        <v>3751.1885104713369</v>
      </c>
      <c r="G11" s="14">
        <f t="shared" si="0"/>
        <v>32709.055941328657</v>
      </c>
      <c r="H11" s="9"/>
    </row>
    <row r="12" spans="1:20" x14ac:dyDescent="0.25">
      <c r="A12" s="21" t="s">
        <v>25</v>
      </c>
      <c r="B12" s="22">
        <v>1605.91</v>
      </c>
      <c r="C12" t="s">
        <v>29</v>
      </c>
      <c r="D12" s="4" t="s">
        <v>12</v>
      </c>
      <c r="E12" s="18">
        <f>SUM(E11)</f>
        <v>36460.244451800005</v>
      </c>
      <c r="F12" s="18">
        <f>SUM(F11)</f>
        <v>3751.1885104713369</v>
      </c>
      <c r="G12" s="18">
        <f>SUM(G11)</f>
        <v>32709.055941328657</v>
      </c>
    </row>
    <row r="13" spans="1:20" x14ac:dyDescent="0.25">
      <c r="A13" s="21" t="s">
        <v>25</v>
      </c>
      <c r="B13" s="22">
        <v>1430.05</v>
      </c>
      <c r="C13" t="s">
        <v>30</v>
      </c>
      <c r="D13" s="4" t="s">
        <v>6</v>
      </c>
      <c r="E13" s="18"/>
      <c r="F13" s="18">
        <f>F12</f>
        <v>3751.1885104713369</v>
      </c>
      <c r="G13" s="18">
        <f>G12</f>
        <v>32709.055941328657</v>
      </c>
      <c r="H13" s="1"/>
      <c r="I13" t="s">
        <v>9</v>
      </c>
    </row>
    <row r="14" spans="1:20" ht="15.75" x14ac:dyDescent="0.25">
      <c r="A14" s="21" t="s">
        <v>25</v>
      </c>
      <c r="B14" s="22">
        <v>1298.94</v>
      </c>
      <c r="C14" t="s">
        <v>31</v>
      </c>
      <c r="D14" s="4" t="s">
        <v>13</v>
      </c>
      <c r="E14" s="18"/>
      <c r="F14" s="18" t="s">
        <v>9</v>
      </c>
      <c r="G14" s="19">
        <f>F13+G13</f>
        <v>36460.244451799997</v>
      </c>
      <c r="H14" s="1"/>
      <c r="I14" s="1" t="s">
        <v>9</v>
      </c>
    </row>
    <row r="15" spans="1:20" x14ac:dyDescent="0.25">
      <c r="A15" s="21" t="s">
        <v>25</v>
      </c>
      <c r="B15" s="22">
        <v>1197.68</v>
      </c>
      <c r="C15" t="s">
        <v>32</v>
      </c>
      <c r="D15" s="3" t="s">
        <v>14</v>
      </c>
      <c r="E15" s="14"/>
      <c r="F15" s="14"/>
      <c r="G15" s="24">
        <v>13500</v>
      </c>
      <c r="H15" s="8"/>
    </row>
    <row r="16" spans="1:20" x14ac:dyDescent="0.25">
      <c r="A16" s="21" t="s">
        <v>25</v>
      </c>
      <c r="B16" s="22">
        <v>1117.3</v>
      </c>
      <c r="C16" t="s">
        <v>33</v>
      </c>
      <c r="D16" s="3" t="s">
        <v>15</v>
      </c>
      <c r="E16" s="14"/>
      <c r="F16" s="14"/>
      <c r="G16" s="14">
        <f>F13</f>
        <v>3751.1885104713369</v>
      </c>
    </row>
    <row r="17" spans="1:8" ht="18.75" x14ac:dyDescent="0.3">
      <c r="A17" s="21" t="s">
        <v>25</v>
      </c>
      <c r="B17" s="22">
        <f>-IFERROR(EMI!E3/E10*100000,0)</f>
        <v>1853.4137968451589</v>
      </c>
      <c r="C17" t="str">
        <f>"For "&amp;B20&amp;" months"</f>
        <v>For 17 months</v>
      </c>
      <c r="D17" s="3" t="s">
        <v>40</v>
      </c>
      <c r="E17" s="14"/>
      <c r="F17" s="14"/>
      <c r="G17" s="20">
        <f>G14-(G15+G16)</f>
        <v>19209.055941328661</v>
      </c>
      <c r="H17" s="8"/>
    </row>
    <row r="18" spans="1:8" x14ac:dyDescent="0.25">
      <c r="H18" s="8"/>
    </row>
    <row r="19" spans="1:8" x14ac:dyDescent="0.25">
      <c r="D19" s="2"/>
      <c r="G19" s="26"/>
      <c r="H19" s="9"/>
    </row>
    <row r="20" spans="1:8" x14ac:dyDescent="0.25">
      <c r="A20" s="21" t="s">
        <v>36</v>
      </c>
      <c r="B20" s="25">
        <v>17</v>
      </c>
      <c r="G20" s="8"/>
    </row>
    <row r="21" spans="1:8" x14ac:dyDescent="0.25">
      <c r="G21" s="27"/>
    </row>
    <row r="23" spans="1:8" x14ac:dyDescent="0.25">
      <c r="G23" s="28"/>
    </row>
    <row r="24" spans="1:8" x14ac:dyDescent="0.25">
      <c r="G24" s="28"/>
    </row>
  </sheetData>
  <dataValidations count="1">
    <dataValidation type="list" allowBlank="1" showInputMessage="1" showErrorMessage="1" sqref="B4">
      <formula1>$T$1:$T$2</formula1>
    </dataValidation>
  </dataValidations>
  <pageMargins left="0.7" right="0.7" top="0.75" bottom="0.75" header="0.3" footer="0.3"/>
  <pageSetup paperSize="9" scale="85" orientation="landscape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activeCell="B9" sqref="B9"/>
    </sheetView>
  </sheetViews>
  <sheetFormatPr defaultRowHeight="15" x14ac:dyDescent="0.25"/>
  <cols>
    <col min="1" max="1" width="23.5703125" bestFit="1" customWidth="1"/>
    <col min="2" max="2" width="10.5703125" bestFit="1" customWidth="1"/>
    <col min="3" max="3" width="10.42578125" bestFit="1" customWidth="1"/>
    <col min="4" max="4" width="5.7109375" style="8" customWidth="1"/>
    <col min="5" max="5" width="12.85546875" bestFit="1" customWidth="1"/>
    <col min="6" max="6" width="6.140625" bestFit="1" customWidth="1"/>
    <col min="7" max="7" width="19.85546875" bestFit="1" customWidth="1"/>
    <col min="8" max="9" width="12.5703125" bestFit="1" customWidth="1"/>
    <col min="10" max="10" width="10" bestFit="1" customWidth="1"/>
  </cols>
  <sheetData>
    <row r="1" spans="1:10" x14ac:dyDescent="0.25">
      <c r="C1" s="5" t="s">
        <v>42</v>
      </c>
      <c r="E1" s="5" t="s">
        <v>43</v>
      </c>
      <c r="G1" s="5" t="s">
        <v>41</v>
      </c>
      <c r="I1" t="s">
        <v>44</v>
      </c>
    </row>
    <row r="2" spans="1:10" x14ac:dyDescent="0.25">
      <c r="A2" t="s">
        <v>19</v>
      </c>
      <c r="B2" s="8">
        <f>'Car EMI'!E10</f>
        <v>1967198</v>
      </c>
      <c r="C2" s="11">
        <v>44835</v>
      </c>
      <c r="D2" s="8">
        <v>0</v>
      </c>
      <c r="E2" s="8">
        <f>B2</f>
        <v>1967198</v>
      </c>
      <c r="F2" s="13">
        <f>XIRR(E2:E122,C2:C122)</f>
        <v>7.5037875771522544E-2</v>
      </c>
      <c r="G2" s="28">
        <f>E2</f>
        <v>1967198</v>
      </c>
      <c r="H2" s="12"/>
      <c r="I2" s="28">
        <f>E2-E2*7.5%</f>
        <v>1819658.15</v>
      </c>
    </row>
    <row r="3" spans="1:10" x14ac:dyDescent="0.25">
      <c r="A3" t="s">
        <v>20</v>
      </c>
      <c r="B3" s="6">
        <f>7.255%/12</f>
        <v>6.0458333333333336E-3</v>
      </c>
      <c r="C3" s="11">
        <v>44865</v>
      </c>
      <c r="D3" s="8">
        <f>IF(D2+1&lt;=$B$6,D2+1,0)</f>
        <v>1</v>
      </c>
      <c r="E3" s="10">
        <f>IF(D3=$B$6,-$B$9-$E$2*0.1,IF(D3=0,0,-$B$9))</f>
        <v>-36460.31914326203</v>
      </c>
      <c r="G3" s="28">
        <f>E2+E2*$F$2/12+E3</f>
        <v>1943038.8774519037</v>
      </c>
      <c r="H3" s="28"/>
    </row>
    <row r="4" spans="1:10" x14ac:dyDescent="0.25">
      <c r="A4" t="s">
        <v>21</v>
      </c>
      <c r="B4" s="7">
        <v>0.1</v>
      </c>
      <c r="C4" s="11">
        <v>44895</v>
      </c>
      <c r="D4" s="8">
        <f>IF(AND(D3+1&lt;=$B$6,D3&lt;&gt;0),D3+1,0)</f>
        <v>2</v>
      </c>
      <c r="E4" s="10">
        <f t="shared" ref="E4:E67" si="0">IF(D4=$B$6,-$B$9-$E$2*0.1,IF(D4=0,0,-$B$9))</f>
        <v>-36460.31914326203</v>
      </c>
      <c r="G4" s="28">
        <f t="shared" ref="G4:G35" si="1">G3+G3*$F$2/12+E4</f>
        <v>1918728.6841340978</v>
      </c>
      <c r="H4" s="28"/>
    </row>
    <row r="5" spans="1:10" x14ac:dyDescent="0.25">
      <c r="A5" t="s">
        <v>22</v>
      </c>
      <c r="B5" s="8">
        <f>ROUND(B2*B4,0)</f>
        <v>196720</v>
      </c>
      <c r="C5" s="11">
        <v>44926</v>
      </c>
      <c r="D5" s="8">
        <f t="shared" ref="D5:D68" si="2">IF(AND(D4+1&lt;=$B$6,D4&lt;&gt;0),D4+1,0)</f>
        <v>3</v>
      </c>
      <c r="E5" s="10">
        <f t="shared" si="0"/>
        <v>-36460.31914326203</v>
      </c>
      <c r="G5" s="28">
        <f t="shared" si="1"/>
        <v>1894266.4753774451</v>
      </c>
      <c r="H5" s="28"/>
    </row>
    <row r="6" spans="1:10" x14ac:dyDescent="0.25">
      <c r="A6" t="s">
        <v>23</v>
      </c>
      <c r="B6" s="23">
        <f>IF('Car EMI'!B4="Yes",'Car EMI'!B20,'Car EMI'!B3*12)</f>
        <v>60</v>
      </c>
      <c r="C6" s="11">
        <v>44957</v>
      </c>
      <c r="D6" s="8">
        <f t="shared" si="2"/>
        <v>4</v>
      </c>
      <c r="E6" s="10">
        <f t="shared" si="0"/>
        <v>-36460.31914326203</v>
      </c>
      <c r="G6" s="28">
        <f t="shared" si="1"/>
        <v>1869651.3006056442</v>
      </c>
      <c r="H6" s="28"/>
      <c r="I6" s="28">
        <f>G6-I2</f>
        <v>49993.150605644332</v>
      </c>
      <c r="J6" s="28">
        <f>I6*18%</f>
        <v>8998.7671090159802</v>
      </c>
    </row>
    <row r="7" spans="1:10" x14ac:dyDescent="0.25">
      <c r="A7" t="s">
        <v>24</v>
      </c>
      <c r="B7" s="8">
        <f>-PV(B3,B6,0,B5)</f>
        <v>137019.54242798744</v>
      </c>
      <c r="C7" s="11">
        <v>44985</v>
      </c>
      <c r="D7" s="8">
        <f t="shared" si="2"/>
        <v>5</v>
      </c>
      <c r="E7" s="10">
        <f t="shared" si="0"/>
        <v>-36460.31914326203</v>
      </c>
      <c r="G7" s="28">
        <f t="shared" si="1"/>
        <v>1844882.2032982917</v>
      </c>
      <c r="H7" s="28"/>
    </row>
    <row r="8" spans="1:10" x14ac:dyDescent="0.25">
      <c r="C8" s="11">
        <v>45016</v>
      </c>
      <c r="D8" s="8">
        <f t="shared" si="2"/>
        <v>6</v>
      </c>
      <c r="E8" s="10">
        <f t="shared" si="0"/>
        <v>-36460.31914326203</v>
      </c>
      <c r="G8" s="28">
        <f t="shared" si="1"/>
        <v>1819958.2209537122</v>
      </c>
      <c r="H8" s="28"/>
    </row>
    <row r="9" spans="1:10" x14ac:dyDescent="0.25">
      <c r="A9" t="s">
        <v>5</v>
      </c>
      <c r="B9" s="8">
        <f>-PMT(B3,B6,B2-B7)</f>
        <v>36460.31914326203</v>
      </c>
      <c r="C9" s="11">
        <v>45046</v>
      </c>
      <c r="D9" s="8">
        <f t="shared" si="2"/>
        <v>7</v>
      </c>
      <c r="E9" s="10">
        <f t="shared" si="0"/>
        <v>-36460.31914326203</v>
      </c>
      <c r="G9" s="28">
        <f t="shared" si="1"/>
        <v>1794878.3850515573</v>
      </c>
      <c r="H9" s="28"/>
    </row>
    <row r="10" spans="1:10" x14ac:dyDescent="0.25">
      <c r="C10" s="11">
        <v>45077</v>
      </c>
      <c r="D10" s="8">
        <f t="shared" si="2"/>
        <v>8</v>
      </c>
      <c r="E10" s="10">
        <f t="shared" si="0"/>
        <v>-36460.31914326203</v>
      </c>
      <c r="G10" s="28">
        <f t="shared" si="1"/>
        <v>1769641.7210151695</v>
      </c>
      <c r="H10" s="28"/>
    </row>
    <row r="11" spans="1:10" x14ac:dyDescent="0.25">
      <c r="C11" s="11">
        <v>45107</v>
      </c>
      <c r="D11" s="8">
        <f t="shared" si="2"/>
        <v>9</v>
      </c>
      <c r="E11" s="10">
        <f t="shared" si="0"/>
        <v>-36460.31914326203</v>
      </c>
      <c r="G11" s="28">
        <f t="shared" si="1"/>
        <v>1744247.2481737109</v>
      </c>
      <c r="H11" s="28"/>
    </row>
    <row r="12" spans="1:10" x14ac:dyDescent="0.25">
      <c r="C12" s="11">
        <v>45138</v>
      </c>
      <c r="D12" s="8">
        <f t="shared" si="2"/>
        <v>10</v>
      </c>
      <c r="E12" s="10">
        <f t="shared" si="0"/>
        <v>-36460.31914326203</v>
      </c>
      <c r="G12" s="28">
        <f t="shared" si="1"/>
        <v>1718693.9797240554</v>
      </c>
      <c r="H12" s="28"/>
    </row>
    <row r="13" spans="1:10" x14ac:dyDescent="0.25">
      <c r="C13" s="11">
        <v>45169</v>
      </c>
      <c r="D13" s="8">
        <f t="shared" si="2"/>
        <v>11</v>
      </c>
      <c r="E13" s="10">
        <f t="shared" si="0"/>
        <v>-36460.31914326203</v>
      </c>
      <c r="G13" s="28">
        <f t="shared" si="1"/>
        <v>1692980.9226924432</v>
      </c>
      <c r="H13" s="28"/>
    </row>
    <row r="14" spans="1:10" x14ac:dyDescent="0.25">
      <c r="C14" s="11">
        <v>45199</v>
      </c>
      <c r="D14" s="8">
        <f t="shared" si="2"/>
        <v>12</v>
      </c>
      <c r="E14" s="10">
        <f t="shared" si="0"/>
        <v>-36460.31914326203</v>
      </c>
      <c r="G14" s="28">
        <f t="shared" si="1"/>
        <v>1667107.0778958939</v>
      </c>
      <c r="H14" s="28"/>
    </row>
    <row r="15" spans="1:10" x14ac:dyDescent="0.25">
      <c r="C15" s="11">
        <v>45230</v>
      </c>
      <c r="D15" s="8">
        <f t="shared" si="2"/>
        <v>13</v>
      </c>
      <c r="E15" s="10">
        <f t="shared" si="0"/>
        <v>-36460.31914326203</v>
      </c>
      <c r="G15" s="28">
        <f t="shared" si="1"/>
        <v>1641071.4399033801</v>
      </c>
      <c r="H15" s="28"/>
    </row>
    <row r="16" spans="1:10" x14ac:dyDescent="0.25">
      <c r="C16" s="11">
        <v>45260</v>
      </c>
      <c r="D16" s="8">
        <f t="shared" si="2"/>
        <v>14</v>
      </c>
      <c r="E16" s="10">
        <f t="shared" si="0"/>
        <v>-36460.31914326203</v>
      </c>
      <c r="G16" s="28">
        <f t="shared" si="1"/>
        <v>1614872.9969967566</v>
      </c>
      <c r="H16" s="28"/>
    </row>
    <row r="17" spans="3:8" x14ac:dyDescent="0.25">
      <c r="C17" s="11">
        <v>45291</v>
      </c>
      <c r="D17" s="8">
        <f t="shared" si="2"/>
        <v>15</v>
      </c>
      <c r="E17" s="10">
        <f t="shared" si="0"/>
        <v>-36460.31914326203</v>
      </c>
      <c r="G17" s="28">
        <f t="shared" si="1"/>
        <v>1588510.731131447</v>
      </c>
      <c r="H17" s="28"/>
    </row>
    <row r="18" spans="3:8" x14ac:dyDescent="0.25">
      <c r="C18" s="11">
        <v>45322</v>
      </c>
      <c r="D18" s="8">
        <f t="shared" si="2"/>
        <v>16</v>
      </c>
      <c r="E18" s="10">
        <f t="shared" si="0"/>
        <v>-36460.31914326203</v>
      </c>
      <c r="G18" s="28">
        <f t="shared" si="1"/>
        <v>1561983.6178968826</v>
      </c>
      <c r="H18" s="28"/>
    </row>
    <row r="19" spans="3:8" x14ac:dyDescent="0.25">
      <c r="C19" s="11">
        <v>45351</v>
      </c>
      <c r="D19" s="8">
        <f t="shared" si="2"/>
        <v>17</v>
      </c>
      <c r="E19" s="10">
        <f t="shared" si="0"/>
        <v>-36460.31914326203</v>
      </c>
      <c r="G19" s="28">
        <f t="shared" si="1"/>
        <v>1535290.6264766955</v>
      </c>
      <c r="H19" s="28"/>
    </row>
    <row r="20" spans="3:8" x14ac:dyDescent="0.25">
      <c r="C20" s="11">
        <v>45382</v>
      </c>
      <c r="D20" s="8">
        <f t="shared" si="2"/>
        <v>18</v>
      </c>
      <c r="E20" s="10">
        <f t="shared" si="0"/>
        <v>-36460.31914326203</v>
      </c>
      <c r="G20" s="28">
        <f t="shared" si="1"/>
        <v>1508430.719608662</v>
      </c>
      <c r="H20" s="28"/>
    </row>
    <row r="21" spans="3:8" x14ac:dyDescent="0.25">
      <c r="C21" s="11">
        <v>45412</v>
      </c>
      <c r="D21" s="8">
        <f t="shared" si="2"/>
        <v>19</v>
      </c>
      <c r="E21" s="10">
        <f t="shared" si="0"/>
        <v>-36460.31914326203</v>
      </c>
      <c r="G21" s="28">
        <f t="shared" si="1"/>
        <v>1481402.8535443952</v>
      </c>
      <c r="H21" s="28"/>
    </row>
    <row r="22" spans="3:8" x14ac:dyDescent="0.25">
      <c r="C22" s="11">
        <v>45443</v>
      </c>
      <c r="D22" s="8">
        <f t="shared" si="2"/>
        <v>20</v>
      </c>
      <c r="E22" s="10">
        <f t="shared" si="0"/>
        <v>-36460.31914326203</v>
      </c>
      <c r="G22" s="28">
        <f t="shared" si="1"/>
        <v>1454205.9780087869</v>
      </c>
      <c r="H22" s="28"/>
    </row>
    <row r="23" spans="3:8" x14ac:dyDescent="0.25">
      <c r="C23" s="11">
        <v>45473</v>
      </c>
      <c r="D23" s="8">
        <f t="shared" si="2"/>
        <v>21</v>
      </c>
      <c r="E23" s="10">
        <f t="shared" si="0"/>
        <v>-36460.31914326203</v>
      </c>
      <c r="G23" s="28">
        <f t="shared" si="1"/>
        <v>1426839.0361591941</v>
      </c>
      <c r="H23" s="28"/>
    </row>
    <row r="24" spans="3:8" x14ac:dyDescent="0.25">
      <c r="C24" s="11">
        <v>45504</v>
      </c>
      <c r="D24" s="8">
        <f t="shared" si="2"/>
        <v>22</v>
      </c>
      <c r="E24" s="10">
        <f t="shared" si="0"/>
        <v>-36460.31914326203</v>
      </c>
      <c r="G24" s="28">
        <f t="shared" si="1"/>
        <v>1399300.9645443715</v>
      </c>
      <c r="H24" s="28"/>
    </row>
    <row r="25" spans="3:8" x14ac:dyDescent="0.25">
      <c r="C25" s="11">
        <v>45535</v>
      </c>
      <c r="D25" s="8">
        <f t="shared" si="2"/>
        <v>23</v>
      </c>
      <c r="E25" s="10">
        <f t="shared" si="0"/>
        <v>-36460.31914326203</v>
      </c>
      <c r="G25" s="28">
        <f t="shared" si="1"/>
        <v>1371590.6930631471</v>
      </c>
      <c r="H25" s="28"/>
    </row>
    <row r="26" spans="3:8" x14ac:dyDescent="0.25">
      <c r="C26" s="11">
        <v>45565</v>
      </c>
      <c r="D26" s="8">
        <f t="shared" si="2"/>
        <v>24</v>
      </c>
      <c r="E26" s="10">
        <f t="shared" si="0"/>
        <v>-36460.31914326203</v>
      </c>
      <c r="G26" s="28">
        <f t="shared" si="1"/>
        <v>1343707.1449228392</v>
      </c>
      <c r="H26" s="28"/>
    </row>
    <row r="27" spans="3:8" x14ac:dyDescent="0.25">
      <c r="C27" s="11">
        <v>45596</v>
      </c>
      <c r="D27" s="8">
        <f t="shared" si="2"/>
        <v>25</v>
      </c>
      <c r="E27" s="10">
        <f t="shared" si="0"/>
        <v>-36460.31914326203</v>
      </c>
      <c r="G27" s="28">
        <f t="shared" si="1"/>
        <v>1315649.236597413</v>
      </c>
      <c r="H27" s="28"/>
    </row>
    <row r="28" spans="3:8" x14ac:dyDescent="0.25">
      <c r="C28" s="11">
        <v>45626</v>
      </c>
      <c r="D28" s="8">
        <f t="shared" si="2"/>
        <v>26</v>
      </c>
      <c r="E28" s="10">
        <f t="shared" si="0"/>
        <v>-36460.31914326203</v>
      </c>
      <c r="G28" s="28">
        <f t="shared" si="1"/>
        <v>1287415.8777853756</v>
      </c>
      <c r="H28" s="28"/>
    </row>
    <row r="29" spans="3:8" x14ac:dyDescent="0.25">
      <c r="C29" s="11">
        <v>45657</v>
      </c>
      <c r="D29" s="8">
        <f t="shared" si="2"/>
        <v>27</v>
      </c>
      <c r="E29" s="10">
        <f t="shared" si="0"/>
        <v>-36460.31914326203</v>
      </c>
      <c r="G29" s="28">
        <f t="shared" si="1"/>
        <v>1259005.971367409</v>
      </c>
      <c r="H29" s="28"/>
    </row>
    <row r="30" spans="3:8" x14ac:dyDescent="0.25">
      <c r="C30" s="11">
        <v>45688</v>
      </c>
      <c r="D30" s="8">
        <f t="shared" si="2"/>
        <v>28</v>
      </c>
      <c r="E30" s="10">
        <f t="shared" si="0"/>
        <v>-36460.31914326203</v>
      </c>
      <c r="G30" s="28">
        <f t="shared" si="1"/>
        <v>1230418.4133637364</v>
      </c>
      <c r="H30" s="28"/>
    </row>
    <row r="31" spans="3:8" x14ac:dyDescent="0.25">
      <c r="C31" s="11">
        <v>45716</v>
      </c>
      <c r="D31" s="8">
        <f t="shared" si="2"/>
        <v>29</v>
      </c>
      <c r="E31" s="10">
        <f t="shared" si="0"/>
        <v>-36460.31914326203</v>
      </c>
      <c r="G31" s="28">
        <f t="shared" si="1"/>
        <v>1201652.0928912228</v>
      </c>
      <c r="H31" s="28"/>
    </row>
    <row r="32" spans="3:8" x14ac:dyDescent="0.25">
      <c r="C32" s="11">
        <v>45747</v>
      </c>
      <c r="D32" s="8">
        <f t="shared" si="2"/>
        <v>30</v>
      </c>
      <c r="E32" s="10">
        <f t="shared" si="0"/>
        <v>-36460.31914326203</v>
      </c>
      <c r="G32" s="28">
        <f t="shared" si="1"/>
        <v>1172705.8921202077</v>
      </c>
      <c r="H32" s="28"/>
    </row>
    <row r="33" spans="3:8" x14ac:dyDescent="0.25">
      <c r="C33" s="11">
        <v>45777</v>
      </c>
      <c r="D33" s="8">
        <f t="shared" si="2"/>
        <v>31</v>
      </c>
      <c r="E33" s="10">
        <f t="shared" si="0"/>
        <v>-36460.31914326203</v>
      </c>
      <c r="G33" s="28">
        <f t="shared" si="1"/>
        <v>1143578.6862310665</v>
      </c>
      <c r="H33" s="28"/>
    </row>
    <row r="34" spans="3:8" x14ac:dyDescent="0.25">
      <c r="C34" s="11">
        <v>45808</v>
      </c>
      <c r="D34" s="8">
        <f t="shared" si="2"/>
        <v>32</v>
      </c>
      <c r="E34" s="10">
        <f t="shared" si="0"/>
        <v>-36460.31914326203</v>
      </c>
      <c r="G34" s="28">
        <f t="shared" si="1"/>
        <v>1114269.3433705019</v>
      </c>
      <c r="H34" s="28"/>
    </row>
    <row r="35" spans="3:8" x14ac:dyDescent="0.25">
      <c r="C35" s="11">
        <v>45838</v>
      </c>
      <c r="D35" s="8">
        <f t="shared" si="2"/>
        <v>33</v>
      </c>
      <c r="E35" s="10">
        <f t="shared" si="0"/>
        <v>-36460.31914326203</v>
      </c>
      <c r="G35" s="28">
        <f t="shared" si="1"/>
        <v>1084776.7246075608</v>
      </c>
      <c r="H35" s="28"/>
    </row>
    <row r="36" spans="3:8" x14ac:dyDescent="0.25">
      <c r="C36" s="11">
        <v>45869</v>
      </c>
      <c r="D36" s="8">
        <f t="shared" si="2"/>
        <v>34</v>
      </c>
      <c r="E36" s="10">
        <f t="shared" si="0"/>
        <v>-36460.31914326203</v>
      </c>
      <c r="G36" s="28">
        <f t="shared" ref="G36:G62" si="3">G35+G35*$F$2/12+E36</f>
        <v>1055099.6838893772</v>
      </c>
      <c r="H36" s="28"/>
    </row>
    <row r="37" spans="3:8" x14ac:dyDescent="0.25">
      <c r="C37" s="11">
        <v>45900</v>
      </c>
      <c r="D37" s="8">
        <f t="shared" si="2"/>
        <v>35</v>
      </c>
      <c r="E37" s="10">
        <f t="shared" si="0"/>
        <v>-36460.31914326203</v>
      </c>
      <c r="G37" s="28">
        <f t="shared" si="3"/>
        <v>1025237.0679966372</v>
      </c>
      <c r="H37" s="28"/>
    </row>
    <row r="38" spans="3:8" x14ac:dyDescent="0.25">
      <c r="C38" s="11">
        <v>45930</v>
      </c>
      <c r="D38" s="8">
        <f t="shared" si="2"/>
        <v>36</v>
      </c>
      <c r="E38" s="10">
        <f t="shared" si="0"/>
        <v>-36460.31914326203</v>
      </c>
      <c r="G38" s="28">
        <f t="shared" si="3"/>
        <v>995187.71649876621</v>
      </c>
      <c r="H38" s="28"/>
    </row>
    <row r="39" spans="3:8" x14ac:dyDescent="0.25">
      <c r="C39" s="11">
        <v>45961</v>
      </c>
      <c r="D39" s="8">
        <f t="shared" si="2"/>
        <v>37</v>
      </c>
      <c r="E39" s="10">
        <f t="shared" si="0"/>
        <v>-36460.31914326203</v>
      </c>
      <c r="G39" s="28">
        <f t="shared" si="3"/>
        <v>964950.46170883591</v>
      </c>
      <c r="H39" s="28"/>
    </row>
    <row r="40" spans="3:8" x14ac:dyDescent="0.25">
      <c r="C40" s="11">
        <v>45991</v>
      </c>
      <c r="D40" s="8">
        <f t="shared" si="2"/>
        <v>38</v>
      </c>
      <c r="E40" s="10">
        <f t="shared" si="0"/>
        <v>-36460.31914326203</v>
      </c>
      <c r="G40" s="28">
        <f t="shared" si="3"/>
        <v>934524.12863818894</v>
      </c>
      <c r="H40" s="28"/>
    </row>
    <row r="41" spans="3:8" x14ac:dyDescent="0.25">
      <c r="C41" s="11">
        <v>46022</v>
      </c>
      <c r="D41" s="8">
        <f t="shared" si="2"/>
        <v>39</v>
      </c>
      <c r="E41" s="10">
        <f t="shared" si="0"/>
        <v>-36460.31914326203</v>
      </c>
      <c r="G41" s="28">
        <f t="shared" si="3"/>
        <v>903907.53495078045</v>
      </c>
      <c r="H41" s="28"/>
    </row>
    <row r="42" spans="3:8" x14ac:dyDescent="0.25">
      <c r="C42" s="11">
        <v>46053</v>
      </c>
      <c r="D42" s="8">
        <f t="shared" si="2"/>
        <v>40</v>
      </c>
      <c r="E42" s="10">
        <f t="shared" si="0"/>
        <v>-36460.31914326203</v>
      </c>
      <c r="G42" s="28">
        <f t="shared" si="3"/>
        <v>873099.4909172334</v>
      </c>
      <c r="H42" s="28"/>
    </row>
    <row r="43" spans="3:8" x14ac:dyDescent="0.25">
      <c r="C43" s="11">
        <v>46081</v>
      </c>
      <c r="D43" s="8">
        <f t="shared" si="2"/>
        <v>41</v>
      </c>
      <c r="E43" s="10">
        <f t="shared" si="0"/>
        <v>-36460.31914326203</v>
      </c>
      <c r="G43" s="28">
        <f t="shared" si="3"/>
        <v>842098.799368607</v>
      </c>
      <c r="H43" s="28"/>
    </row>
    <row r="44" spans="3:8" x14ac:dyDescent="0.25">
      <c r="C44" s="11">
        <v>46112</v>
      </c>
      <c r="D44" s="8">
        <f t="shared" si="2"/>
        <v>42</v>
      </c>
      <c r="E44" s="10">
        <f t="shared" si="0"/>
        <v>-36460.31914326203</v>
      </c>
      <c r="G44" s="28">
        <f t="shared" si="3"/>
        <v>810904.25564987585</v>
      </c>
      <c r="H44" s="28"/>
    </row>
    <row r="45" spans="3:8" x14ac:dyDescent="0.25">
      <c r="C45" s="11">
        <v>46142</v>
      </c>
      <c r="D45" s="8">
        <f t="shared" si="2"/>
        <v>43</v>
      </c>
      <c r="E45" s="10">
        <f t="shared" si="0"/>
        <v>-36460.31914326203</v>
      </c>
      <c r="G45" s="28">
        <f t="shared" si="3"/>
        <v>779514.64757311833</v>
      </c>
      <c r="H45" s="28"/>
    </row>
    <row r="46" spans="3:8" x14ac:dyDescent="0.25">
      <c r="C46" s="11">
        <v>46173</v>
      </c>
      <c r="D46" s="8">
        <f t="shared" si="2"/>
        <v>44</v>
      </c>
      <c r="E46" s="10">
        <f t="shared" si="0"/>
        <v>-36460.31914326203</v>
      </c>
      <c r="G46" s="28">
        <f t="shared" si="3"/>
        <v>747928.75537041249</v>
      </c>
      <c r="H46" s="28"/>
    </row>
    <row r="47" spans="3:8" x14ac:dyDescent="0.25">
      <c r="C47" s="11">
        <v>46203</v>
      </c>
      <c r="D47" s="8">
        <f t="shared" si="2"/>
        <v>45</v>
      </c>
      <c r="E47" s="10">
        <f t="shared" si="0"/>
        <v>-36460.31914326203</v>
      </c>
      <c r="G47" s="28">
        <f t="shared" si="3"/>
        <v>716145.35164643673</v>
      </c>
      <c r="H47" s="28"/>
    </row>
    <row r="48" spans="3:8" x14ac:dyDescent="0.25">
      <c r="C48" s="11">
        <v>46234</v>
      </c>
      <c r="D48" s="8">
        <f t="shared" si="2"/>
        <v>46</v>
      </c>
      <c r="E48" s="10">
        <f t="shared" si="0"/>
        <v>-36460.31914326203</v>
      </c>
      <c r="G48" s="28">
        <f t="shared" si="3"/>
        <v>684163.20133077458</v>
      </c>
      <c r="H48" s="28"/>
    </row>
    <row r="49" spans="3:8" x14ac:dyDescent="0.25">
      <c r="C49" s="11">
        <v>46265</v>
      </c>
      <c r="D49" s="8">
        <f t="shared" si="2"/>
        <v>47</v>
      </c>
      <c r="E49" s="10">
        <f t="shared" si="0"/>
        <v>-36460.31914326203</v>
      </c>
      <c r="G49" s="28">
        <f t="shared" si="3"/>
        <v>651981.06162992143</v>
      </c>
      <c r="H49" s="28"/>
    </row>
    <row r="50" spans="3:8" x14ac:dyDescent="0.25">
      <c r="C50" s="11">
        <v>46295</v>
      </c>
      <c r="D50" s="8">
        <f t="shared" si="2"/>
        <v>48</v>
      </c>
      <c r="E50" s="10">
        <f t="shared" si="0"/>
        <v>-36460.31914326203</v>
      </c>
      <c r="G50" s="28">
        <f t="shared" si="3"/>
        <v>619597.68197899044</v>
      </c>
      <c r="H50" s="28"/>
    </row>
    <row r="51" spans="3:8" x14ac:dyDescent="0.25">
      <c r="C51" s="11">
        <v>46326</v>
      </c>
      <c r="D51" s="8">
        <f t="shared" si="2"/>
        <v>49</v>
      </c>
      <c r="E51" s="10">
        <f t="shared" si="0"/>
        <v>-36460.31914326203</v>
      </c>
      <c r="G51" s="28">
        <f t="shared" si="3"/>
        <v>587011.80399311706</v>
      </c>
      <c r="H51" s="28"/>
    </row>
    <row r="52" spans="3:8" x14ac:dyDescent="0.25">
      <c r="C52" s="11">
        <v>46356</v>
      </c>
      <c r="D52" s="8">
        <f t="shared" si="2"/>
        <v>50</v>
      </c>
      <c r="E52" s="10">
        <f t="shared" si="0"/>
        <v>-36460.31914326203</v>
      </c>
      <c r="G52" s="28">
        <f t="shared" si="3"/>
        <v>554222.1614185595</v>
      </c>
      <c r="H52" s="28"/>
    </row>
    <row r="53" spans="3:8" x14ac:dyDescent="0.25">
      <c r="C53" s="11">
        <v>46387</v>
      </c>
      <c r="D53" s="8">
        <f t="shared" si="2"/>
        <v>51</v>
      </c>
      <c r="E53" s="10">
        <f t="shared" si="0"/>
        <v>-36460.31914326203</v>
      </c>
      <c r="G53" s="28">
        <f t="shared" si="3"/>
        <v>521227.48008349334</v>
      </c>
      <c r="H53" s="28"/>
    </row>
    <row r="54" spans="3:8" x14ac:dyDescent="0.25">
      <c r="C54" s="11">
        <v>46418</v>
      </c>
      <c r="D54" s="8">
        <f t="shared" si="2"/>
        <v>52</v>
      </c>
      <c r="E54" s="10">
        <f t="shared" si="0"/>
        <v>-36460.31914326203</v>
      </c>
      <c r="G54" s="28">
        <f t="shared" si="3"/>
        <v>488026.47784849867</v>
      </c>
      <c r="H54" s="28"/>
    </row>
    <row r="55" spans="3:8" x14ac:dyDescent="0.25">
      <c r="C55" s="11">
        <v>46446</v>
      </c>
      <c r="D55" s="8">
        <f t="shared" si="2"/>
        <v>53</v>
      </c>
      <c r="E55" s="10">
        <f t="shared" si="0"/>
        <v>-36460.31914326203</v>
      </c>
      <c r="G55" s="28">
        <f t="shared" si="3"/>
        <v>454617.86455673742</v>
      </c>
      <c r="H55" s="28"/>
    </row>
    <row r="56" spans="3:8" x14ac:dyDescent="0.25">
      <c r="C56" s="11">
        <v>46477</v>
      </c>
      <c r="D56" s="8">
        <f t="shared" si="2"/>
        <v>54</v>
      </c>
      <c r="E56" s="10">
        <f t="shared" si="0"/>
        <v>-36460.31914326203</v>
      </c>
      <c r="G56" s="28">
        <f t="shared" si="3"/>
        <v>421000.34198381897</v>
      </c>
      <c r="H56" s="28"/>
    </row>
    <row r="57" spans="3:8" x14ac:dyDescent="0.25">
      <c r="C57" s="11">
        <v>46507</v>
      </c>
      <c r="D57" s="8">
        <f t="shared" si="2"/>
        <v>55</v>
      </c>
      <c r="E57" s="10">
        <f t="shared" si="0"/>
        <v>-36460.31914326203</v>
      </c>
      <c r="G57" s="28">
        <f t="shared" si="3"/>
        <v>387172.6037873528</v>
      </c>
      <c r="H57" s="28"/>
    </row>
    <row r="58" spans="3:8" x14ac:dyDescent="0.25">
      <c r="C58" s="11">
        <v>46538</v>
      </c>
      <c r="D58" s="8">
        <f t="shared" si="2"/>
        <v>56</v>
      </c>
      <c r="E58" s="10">
        <f t="shared" si="0"/>
        <v>-36460.31914326203</v>
      </c>
      <c r="G58" s="28">
        <f t="shared" si="3"/>
        <v>353133.3354561851</v>
      </c>
      <c r="H58" s="28"/>
    </row>
    <row r="59" spans="3:8" x14ac:dyDescent="0.25">
      <c r="C59" s="11">
        <v>46568</v>
      </c>
      <c r="D59" s="8">
        <f t="shared" si="2"/>
        <v>57</v>
      </c>
      <c r="E59" s="10">
        <f t="shared" si="0"/>
        <v>-36460.31914326203</v>
      </c>
      <c r="G59" s="28">
        <f t="shared" si="3"/>
        <v>318881.21425931843</v>
      </c>
      <c r="H59" s="28"/>
    </row>
    <row r="60" spans="3:8" x14ac:dyDescent="0.25">
      <c r="C60" s="11">
        <v>46599</v>
      </c>
      <c r="D60" s="8">
        <f t="shared" si="2"/>
        <v>58</v>
      </c>
      <c r="E60" s="10">
        <f t="shared" si="0"/>
        <v>-36460.31914326203</v>
      </c>
      <c r="G60" s="28">
        <f t="shared" si="3"/>
        <v>284414.90919451165</v>
      </c>
      <c r="H60" s="28"/>
    </row>
    <row r="61" spans="3:8" x14ac:dyDescent="0.25">
      <c r="C61" s="11">
        <v>46630</v>
      </c>
      <c r="D61" s="8">
        <f t="shared" si="2"/>
        <v>59</v>
      </c>
      <c r="E61" s="10">
        <f t="shared" si="0"/>
        <v>-36460.31914326203</v>
      </c>
      <c r="G61" s="28">
        <f t="shared" si="3"/>
        <v>249733.08093655852</v>
      </c>
      <c r="H61" s="28"/>
    </row>
    <row r="62" spans="3:8" x14ac:dyDescent="0.25">
      <c r="C62" s="11">
        <v>46660</v>
      </c>
      <c r="D62" s="8">
        <f t="shared" si="2"/>
        <v>60</v>
      </c>
      <c r="E62" s="10">
        <f>IF(D62=$B$6,-$B$9-$E$2*0.1,IF(D62=0,0,-$B$9))</f>
        <v>-233180.11914326204</v>
      </c>
      <c r="G62" s="28">
        <f t="shared" si="3"/>
        <v>18114.581785242888</v>
      </c>
      <c r="H62" s="28"/>
    </row>
    <row r="63" spans="3:8" x14ac:dyDescent="0.25">
      <c r="C63" s="11">
        <v>46691</v>
      </c>
      <c r="D63" s="8">
        <f t="shared" si="2"/>
        <v>0</v>
      </c>
      <c r="E63" s="10">
        <f t="shared" si="0"/>
        <v>0</v>
      </c>
      <c r="G63" s="28"/>
    </row>
    <row r="64" spans="3:8" x14ac:dyDescent="0.25">
      <c r="C64" s="11">
        <v>46721</v>
      </c>
      <c r="D64" s="8">
        <f t="shared" si="2"/>
        <v>0</v>
      </c>
      <c r="E64" s="10">
        <f t="shared" si="0"/>
        <v>0</v>
      </c>
      <c r="G64" s="28"/>
    </row>
    <row r="65" spans="3:7" x14ac:dyDescent="0.25">
      <c r="C65" s="11">
        <v>46752</v>
      </c>
      <c r="D65" s="8">
        <f t="shared" si="2"/>
        <v>0</v>
      </c>
      <c r="E65" s="10">
        <f t="shared" si="0"/>
        <v>0</v>
      </c>
      <c r="G65" s="28"/>
    </row>
    <row r="66" spans="3:7" x14ac:dyDescent="0.25">
      <c r="C66" s="11">
        <v>46783</v>
      </c>
      <c r="D66" s="8">
        <f t="shared" si="2"/>
        <v>0</v>
      </c>
      <c r="E66" s="10">
        <f t="shared" si="0"/>
        <v>0</v>
      </c>
      <c r="G66" s="28"/>
    </row>
    <row r="67" spans="3:7" x14ac:dyDescent="0.25">
      <c r="C67" s="11">
        <v>46812</v>
      </c>
      <c r="D67" s="8">
        <f t="shared" si="2"/>
        <v>0</v>
      </c>
      <c r="E67" s="10">
        <f t="shared" si="0"/>
        <v>0</v>
      </c>
      <c r="G67" s="28"/>
    </row>
    <row r="68" spans="3:7" x14ac:dyDescent="0.25">
      <c r="C68" s="11">
        <v>46843</v>
      </c>
      <c r="D68" s="8">
        <f t="shared" si="2"/>
        <v>0</v>
      </c>
      <c r="E68" s="10">
        <f t="shared" ref="E68:E122" si="4">IF(D68=$B$6,-$B$9-$E$2*0.1,IF(D68=0,0,-$B$9))</f>
        <v>0</v>
      </c>
      <c r="G68" s="28"/>
    </row>
    <row r="69" spans="3:7" x14ac:dyDescent="0.25">
      <c r="C69" s="11">
        <v>46873</v>
      </c>
      <c r="D69" s="8">
        <f t="shared" ref="D69:D74" si="5">IF(AND(D68+1&lt;=$B$6,D68&lt;&gt;0),D68+1,0)</f>
        <v>0</v>
      </c>
      <c r="E69" s="10">
        <f t="shared" si="4"/>
        <v>0</v>
      </c>
      <c r="G69" s="28"/>
    </row>
    <row r="70" spans="3:7" x14ac:dyDescent="0.25">
      <c r="C70" s="11">
        <v>46904</v>
      </c>
      <c r="D70" s="8">
        <f t="shared" si="5"/>
        <v>0</v>
      </c>
      <c r="E70" s="10">
        <f t="shared" si="4"/>
        <v>0</v>
      </c>
      <c r="G70" s="28"/>
    </row>
    <row r="71" spans="3:7" x14ac:dyDescent="0.25">
      <c r="C71" s="11">
        <v>46934</v>
      </c>
      <c r="D71" s="8">
        <f t="shared" si="5"/>
        <v>0</v>
      </c>
      <c r="E71" s="10">
        <f t="shared" si="4"/>
        <v>0</v>
      </c>
      <c r="G71" s="28"/>
    </row>
    <row r="72" spans="3:7" x14ac:dyDescent="0.25">
      <c r="C72" s="11">
        <v>46965</v>
      </c>
      <c r="D72" s="8">
        <f t="shared" si="5"/>
        <v>0</v>
      </c>
      <c r="E72" s="10">
        <f t="shared" si="4"/>
        <v>0</v>
      </c>
      <c r="G72" s="28"/>
    </row>
    <row r="73" spans="3:7" x14ac:dyDescent="0.25">
      <c r="C73" s="11">
        <v>46996</v>
      </c>
      <c r="D73" s="8">
        <f t="shared" si="5"/>
        <v>0</v>
      </c>
      <c r="E73" s="10">
        <f t="shared" si="4"/>
        <v>0</v>
      </c>
      <c r="G73" s="28"/>
    </row>
    <row r="74" spans="3:7" x14ac:dyDescent="0.25">
      <c r="C74" s="11">
        <v>47026</v>
      </c>
      <c r="D74" s="8">
        <f t="shared" si="5"/>
        <v>0</v>
      </c>
      <c r="E74" s="10">
        <f t="shared" si="4"/>
        <v>0</v>
      </c>
      <c r="G74" s="28"/>
    </row>
    <row r="75" spans="3:7" x14ac:dyDescent="0.25">
      <c r="C75" s="11">
        <v>47057</v>
      </c>
      <c r="D75" s="8">
        <f t="shared" ref="D75:D86" si="6">IF(AND(D74+1&lt;=$B$6,D74&lt;&gt;0),D74+1,0)</f>
        <v>0</v>
      </c>
      <c r="E75" s="10">
        <f t="shared" si="4"/>
        <v>0</v>
      </c>
      <c r="G75" s="28"/>
    </row>
    <row r="76" spans="3:7" x14ac:dyDescent="0.25">
      <c r="C76" s="11">
        <v>47087</v>
      </c>
      <c r="D76" s="8">
        <f t="shared" si="6"/>
        <v>0</v>
      </c>
      <c r="E76" s="10">
        <f t="shared" si="4"/>
        <v>0</v>
      </c>
      <c r="G76" s="28"/>
    </row>
    <row r="77" spans="3:7" x14ac:dyDescent="0.25">
      <c r="C77" s="11">
        <v>47118</v>
      </c>
      <c r="D77" s="8">
        <f t="shared" si="6"/>
        <v>0</v>
      </c>
      <c r="E77" s="10">
        <f t="shared" si="4"/>
        <v>0</v>
      </c>
      <c r="G77" s="28"/>
    </row>
    <row r="78" spans="3:7" x14ac:dyDescent="0.25">
      <c r="C78" s="11">
        <v>47149</v>
      </c>
      <c r="D78" s="8">
        <f t="shared" si="6"/>
        <v>0</v>
      </c>
      <c r="E78" s="10">
        <f t="shared" si="4"/>
        <v>0</v>
      </c>
      <c r="G78" s="28"/>
    </row>
    <row r="79" spans="3:7" x14ac:dyDescent="0.25">
      <c r="C79" s="11">
        <v>47177</v>
      </c>
      <c r="D79" s="8">
        <f t="shared" si="6"/>
        <v>0</v>
      </c>
      <c r="E79" s="10">
        <f t="shared" si="4"/>
        <v>0</v>
      </c>
      <c r="G79" s="28"/>
    </row>
    <row r="80" spans="3:7" x14ac:dyDescent="0.25">
      <c r="C80" s="11">
        <v>47208</v>
      </c>
      <c r="D80" s="8">
        <f t="shared" si="6"/>
        <v>0</v>
      </c>
      <c r="E80" s="10">
        <f t="shared" si="4"/>
        <v>0</v>
      </c>
      <c r="G80" s="28"/>
    </row>
    <row r="81" spans="3:7" x14ac:dyDescent="0.25">
      <c r="C81" s="11">
        <v>47238</v>
      </c>
      <c r="D81" s="8">
        <f t="shared" si="6"/>
        <v>0</v>
      </c>
      <c r="E81" s="10">
        <f t="shared" si="4"/>
        <v>0</v>
      </c>
      <c r="G81" s="28"/>
    </row>
    <row r="82" spans="3:7" x14ac:dyDescent="0.25">
      <c r="C82" s="11">
        <v>47269</v>
      </c>
      <c r="D82" s="8">
        <f t="shared" si="6"/>
        <v>0</v>
      </c>
      <c r="E82" s="10">
        <f t="shared" si="4"/>
        <v>0</v>
      </c>
      <c r="G82" s="28"/>
    </row>
    <row r="83" spans="3:7" x14ac:dyDescent="0.25">
      <c r="C83" s="11">
        <v>47299</v>
      </c>
      <c r="D83" s="8">
        <f t="shared" si="6"/>
        <v>0</v>
      </c>
      <c r="E83" s="10">
        <f t="shared" si="4"/>
        <v>0</v>
      </c>
      <c r="G83" s="28"/>
    </row>
    <row r="84" spans="3:7" x14ac:dyDescent="0.25">
      <c r="C84" s="11">
        <v>47330</v>
      </c>
      <c r="D84" s="8">
        <f t="shared" si="6"/>
        <v>0</v>
      </c>
      <c r="E84" s="10">
        <f t="shared" si="4"/>
        <v>0</v>
      </c>
      <c r="G84" s="28"/>
    </row>
    <row r="85" spans="3:7" x14ac:dyDescent="0.25">
      <c r="C85" s="11">
        <v>47361</v>
      </c>
      <c r="D85" s="8">
        <f t="shared" si="6"/>
        <v>0</v>
      </c>
      <c r="E85" s="10">
        <f t="shared" si="4"/>
        <v>0</v>
      </c>
      <c r="G85" s="28"/>
    </row>
    <row r="86" spans="3:7" x14ac:dyDescent="0.25">
      <c r="C86" s="11">
        <v>47391</v>
      </c>
      <c r="D86" s="8">
        <f t="shared" si="6"/>
        <v>0</v>
      </c>
      <c r="E86" s="10">
        <f t="shared" si="4"/>
        <v>0</v>
      </c>
      <c r="G86" s="28"/>
    </row>
    <row r="87" spans="3:7" x14ac:dyDescent="0.25">
      <c r="C87" s="11">
        <v>47422</v>
      </c>
      <c r="D87" s="8">
        <f t="shared" ref="D87:D122" si="7">IF(AND(D86+1&lt;=$B$6,D86&lt;&gt;0),D86+1,0)</f>
        <v>0</v>
      </c>
      <c r="E87" s="10">
        <f t="shared" si="4"/>
        <v>0</v>
      </c>
      <c r="G87" s="28"/>
    </row>
    <row r="88" spans="3:7" x14ac:dyDescent="0.25">
      <c r="C88" s="11">
        <v>47452</v>
      </c>
      <c r="D88" s="8">
        <f t="shared" si="7"/>
        <v>0</v>
      </c>
      <c r="E88" s="10">
        <f t="shared" si="4"/>
        <v>0</v>
      </c>
      <c r="G88" s="28"/>
    </row>
    <row r="89" spans="3:7" x14ac:dyDescent="0.25">
      <c r="C89" s="11">
        <v>47483</v>
      </c>
      <c r="D89" s="8">
        <f t="shared" si="7"/>
        <v>0</v>
      </c>
      <c r="E89" s="10">
        <f t="shared" si="4"/>
        <v>0</v>
      </c>
      <c r="G89" s="28"/>
    </row>
    <row r="90" spans="3:7" x14ac:dyDescent="0.25">
      <c r="C90" s="11">
        <v>47514</v>
      </c>
      <c r="D90" s="8">
        <f t="shared" si="7"/>
        <v>0</v>
      </c>
      <c r="E90" s="10">
        <f t="shared" si="4"/>
        <v>0</v>
      </c>
      <c r="G90" s="28"/>
    </row>
    <row r="91" spans="3:7" x14ac:dyDescent="0.25">
      <c r="C91" s="11">
        <v>47542</v>
      </c>
      <c r="D91" s="8">
        <f t="shared" si="7"/>
        <v>0</v>
      </c>
      <c r="E91" s="10">
        <f t="shared" si="4"/>
        <v>0</v>
      </c>
      <c r="G91" s="28"/>
    </row>
    <row r="92" spans="3:7" x14ac:dyDescent="0.25">
      <c r="C92" s="11">
        <v>47573</v>
      </c>
      <c r="D92" s="8">
        <f t="shared" si="7"/>
        <v>0</v>
      </c>
      <c r="E92" s="10">
        <f t="shared" si="4"/>
        <v>0</v>
      </c>
      <c r="G92" s="28"/>
    </row>
    <row r="93" spans="3:7" x14ac:dyDescent="0.25">
      <c r="C93" s="11">
        <v>47603</v>
      </c>
      <c r="D93" s="8">
        <f t="shared" si="7"/>
        <v>0</v>
      </c>
      <c r="E93" s="10">
        <f t="shared" si="4"/>
        <v>0</v>
      </c>
      <c r="G93" s="28"/>
    </row>
    <row r="94" spans="3:7" x14ac:dyDescent="0.25">
      <c r="C94" s="11">
        <v>47634</v>
      </c>
      <c r="D94" s="8">
        <f t="shared" si="7"/>
        <v>0</v>
      </c>
      <c r="E94" s="10">
        <f t="shared" si="4"/>
        <v>0</v>
      </c>
      <c r="G94" s="28"/>
    </row>
    <row r="95" spans="3:7" x14ac:dyDescent="0.25">
      <c r="C95" s="11">
        <v>47664</v>
      </c>
      <c r="D95" s="8">
        <f t="shared" si="7"/>
        <v>0</v>
      </c>
      <c r="E95" s="10">
        <f t="shared" si="4"/>
        <v>0</v>
      </c>
      <c r="G95" s="28"/>
    </row>
    <row r="96" spans="3:7" x14ac:dyDescent="0.25">
      <c r="C96" s="11">
        <v>47695</v>
      </c>
      <c r="D96" s="8">
        <f t="shared" si="7"/>
        <v>0</v>
      </c>
      <c r="E96" s="10">
        <f t="shared" si="4"/>
        <v>0</v>
      </c>
      <c r="G96" s="28"/>
    </row>
    <row r="97" spans="3:7" x14ac:dyDescent="0.25">
      <c r="C97" s="11">
        <v>47726</v>
      </c>
      <c r="D97" s="8">
        <f t="shared" si="7"/>
        <v>0</v>
      </c>
      <c r="E97" s="10">
        <f t="shared" si="4"/>
        <v>0</v>
      </c>
      <c r="G97" s="28"/>
    </row>
    <row r="98" spans="3:7" x14ac:dyDescent="0.25">
      <c r="C98" s="11">
        <v>47756</v>
      </c>
      <c r="D98" s="8">
        <f t="shared" si="7"/>
        <v>0</v>
      </c>
      <c r="E98" s="10">
        <f t="shared" si="4"/>
        <v>0</v>
      </c>
      <c r="G98" s="28"/>
    </row>
    <row r="99" spans="3:7" x14ac:dyDescent="0.25">
      <c r="C99" s="11">
        <v>47787</v>
      </c>
      <c r="D99" s="8">
        <f t="shared" si="7"/>
        <v>0</v>
      </c>
      <c r="E99" s="10">
        <f t="shared" si="4"/>
        <v>0</v>
      </c>
      <c r="G99" s="28"/>
    </row>
    <row r="100" spans="3:7" x14ac:dyDescent="0.25">
      <c r="C100" s="11">
        <v>47817</v>
      </c>
      <c r="D100" s="8">
        <f t="shared" si="7"/>
        <v>0</v>
      </c>
      <c r="E100" s="10">
        <f t="shared" si="4"/>
        <v>0</v>
      </c>
      <c r="G100" s="28"/>
    </row>
    <row r="101" spans="3:7" x14ac:dyDescent="0.25">
      <c r="C101" s="11">
        <v>47848</v>
      </c>
      <c r="D101" s="8">
        <f t="shared" si="7"/>
        <v>0</v>
      </c>
      <c r="E101" s="10">
        <f t="shared" si="4"/>
        <v>0</v>
      </c>
      <c r="G101" s="28"/>
    </row>
    <row r="102" spans="3:7" x14ac:dyDescent="0.25">
      <c r="C102" s="11">
        <v>47879</v>
      </c>
      <c r="D102" s="8">
        <f t="shared" si="7"/>
        <v>0</v>
      </c>
      <c r="E102" s="10">
        <f t="shared" si="4"/>
        <v>0</v>
      </c>
      <c r="G102" s="28"/>
    </row>
    <row r="103" spans="3:7" x14ac:dyDescent="0.25">
      <c r="C103" s="11">
        <v>47907</v>
      </c>
      <c r="D103" s="8">
        <f t="shared" si="7"/>
        <v>0</v>
      </c>
      <c r="E103" s="10">
        <f t="shared" si="4"/>
        <v>0</v>
      </c>
      <c r="G103" s="28"/>
    </row>
    <row r="104" spans="3:7" x14ac:dyDescent="0.25">
      <c r="C104" s="11">
        <v>47938</v>
      </c>
      <c r="D104" s="8">
        <f t="shared" si="7"/>
        <v>0</v>
      </c>
      <c r="E104" s="10">
        <f t="shared" si="4"/>
        <v>0</v>
      </c>
      <c r="G104" s="28"/>
    </row>
    <row r="105" spans="3:7" x14ac:dyDescent="0.25">
      <c r="C105" s="11">
        <v>47968</v>
      </c>
      <c r="D105" s="8">
        <f t="shared" si="7"/>
        <v>0</v>
      </c>
      <c r="E105" s="10">
        <f t="shared" si="4"/>
        <v>0</v>
      </c>
      <c r="G105" s="28"/>
    </row>
    <row r="106" spans="3:7" x14ac:dyDescent="0.25">
      <c r="C106" s="11">
        <v>47999</v>
      </c>
      <c r="D106" s="8">
        <f t="shared" si="7"/>
        <v>0</v>
      </c>
      <c r="E106" s="10">
        <f t="shared" si="4"/>
        <v>0</v>
      </c>
      <c r="G106" s="28"/>
    </row>
    <row r="107" spans="3:7" x14ac:dyDescent="0.25">
      <c r="C107" s="11">
        <v>48029</v>
      </c>
      <c r="D107" s="8">
        <f t="shared" si="7"/>
        <v>0</v>
      </c>
      <c r="E107" s="10">
        <f t="shared" si="4"/>
        <v>0</v>
      </c>
      <c r="G107" s="28"/>
    </row>
    <row r="108" spans="3:7" x14ac:dyDescent="0.25">
      <c r="C108" s="11">
        <v>48060</v>
      </c>
      <c r="D108" s="8">
        <f t="shared" si="7"/>
        <v>0</v>
      </c>
      <c r="E108" s="10">
        <f t="shared" si="4"/>
        <v>0</v>
      </c>
      <c r="G108" s="28"/>
    </row>
    <row r="109" spans="3:7" x14ac:dyDescent="0.25">
      <c r="C109" s="11">
        <v>48091</v>
      </c>
      <c r="D109" s="8">
        <f t="shared" si="7"/>
        <v>0</v>
      </c>
      <c r="E109" s="10">
        <f t="shared" si="4"/>
        <v>0</v>
      </c>
      <c r="G109" s="28"/>
    </row>
    <row r="110" spans="3:7" x14ac:dyDescent="0.25">
      <c r="C110" s="11">
        <v>48121</v>
      </c>
      <c r="D110" s="8">
        <f t="shared" si="7"/>
        <v>0</v>
      </c>
      <c r="E110" s="10">
        <f t="shared" si="4"/>
        <v>0</v>
      </c>
      <c r="G110" s="28"/>
    </row>
    <row r="111" spans="3:7" x14ac:dyDescent="0.25">
      <c r="C111" s="11">
        <v>48152</v>
      </c>
      <c r="D111" s="8">
        <f t="shared" si="7"/>
        <v>0</v>
      </c>
      <c r="E111" s="10">
        <f t="shared" si="4"/>
        <v>0</v>
      </c>
      <c r="G111" s="28"/>
    </row>
    <row r="112" spans="3:7" x14ac:dyDescent="0.25">
      <c r="C112" s="11">
        <v>48182</v>
      </c>
      <c r="D112" s="8">
        <f t="shared" si="7"/>
        <v>0</v>
      </c>
      <c r="E112" s="10">
        <f t="shared" si="4"/>
        <v>0</v>
      </c>
      <c r="G112" s="28"/>
    </row>
    <row r="113" spans="3:7" x14ac:dyDescent="0.25">
      <c r="C113" s="11">
        <v>48213</v>
      </c>
      <c r="D113" s="8">
        <f t="shared" si="7"/>
        <v>0</v>
      </c>
      <c r="E113" s="10">
        <f t="shared" si="4"/>
        <v>0</v>
      </c>
      <c r="G113" s="28"/>
    </row>
    <row r="114" spans="3:7" x14ac:dyDescent="0.25">
      <c r="C114" s="11">
        <v>48244</v>
      </c>
      <c r="D114" s="8">
        <f t="shared" si="7"/>
        <v>0</v>
      </c>
      <c r="E114" s="10">
        <f t="shared" si="4"/>
        <v>0</v>
      </c>
      <c r="G114" s="28"/>
    </row>
    <row r="115" spans="3:7" x14ac:dyDescent="0.25">
      <c r="C115" s="11">
        <v>48273</v>
      </c>
      <c r="D115" s="8">
        <f t="shared" si="7"/>
        <v>0</v>
      </c>
      <c r="E115" s="10">
        <f t="shared" si="4"/>
        <v>0</v>
      </c>
      <c r="G115" s="28"/>
    </row>
    <row r="116" spans="3:7" x14ac:dyDescent="0.25">
      <c r="C116" s="11">
        <v>48304</v>
      </c>
      <c r="D116" s="8">
        <f t="shared" si="7"/>
        <v>0</v>
      </c>
      <c r="E116" s="10">
        <f t="shared" si="4"/>
        <v>0</v>
      </c>
      <c r="G116" s="28"/>
    </row>
    <row r="117" spans="3:7" x14ac:dyDescent="0.25">
      <c r="C117" s="11">
        <v>48334</v>
      </c>
      <c r="D117" s="8">
        <f t="shared" si="7"/>
        <v>0</v>
      </c>
      <c r="E117" s="10">
        <f t="shared" si="4"/>
        <v>0</v>
      </c>
      <c r="G117" s="28"/>
    </row>
    <row r="118" spans="3:7" x14ac:dyDescent="0.25">
      <c r="C118" s="11">
        <v>48365</v>
      </c>
      <c r="D118" s="8">
        <f t="shared" si="7"/>
        <v>0</v>
      </c>
      <c r="E118" s="10">
        <f t="shared" si="4"/>
        <v>0</v>
      </c>
      <c r="G118" s="28"/>
    </row>
    <row r="119" spans="3:7" x14ac:dyDescent="0.25">
      <c r="C119" s="11">
        <v>48395</v>
      </c>
      <c r="D119" s="8">
        <f t="shared" si="7"/>
        <v>0</v>
      </c>
      <c r="E119" s="10">
        <f t="shared" si="4"/>
        <v>0</v>
      </c>
      <c r="G119" s="28"/>
    </row>
    <row r="120" spans="3:7" x14ac:dyDescent="0.25">
      <c r="C120" s="11">
        <v>48426</v>
      </c>
      <c r="D120" s="8">
        <f t="shared" si="7"/>
        <v>0</v>
      </c>
      <c r="E120" s="10">
        <f t="shared" si="4"/>
        <v>0</v>
      </c>
      <c r="G120" s="28"/>
    </row>
    <row r="121" spans="3:7" x14ac:dyDescent="0.25">
      <c r="C121" s="11">
        <v>48457</v>
      </c>
      <c r="D121" s="8">
        <f t="shared" si="7"/>
        <v>0</v>
      </c>
      <c r="E121" s="10">
        <f t="shared" si="4"/>
        <v>0</v>
      </c>
      <c r="G121" s="28"/>
    </row>
    <row r="122" spans="3:7" x14ac:dyDescent="0.25">
      <c r="C122" s="11">
        <v>48487</v>
      </c>
      <c r="D122" s="8">
        <f t="shared" si="7"/>
        <v>0</v>
      </c>
      <c r="E122" s="10">
        <f t="shared" si="4"/>
        <v>0</v>
      </c>
      <c r="G122" s="28"/>
    </row>
  </sheetData>
  <pageMargins left="0.7" right="0.7" top="0.75" bottom="0.75" header="0.3" footer="0.3"/>
  <pageSetup paperSize="9" orientation="portrait" verticalDpi="0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 EMI</vt:lpstr>
      <vt:lpstr>EMI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 Pradeep T</dc:creator>
  <cp:lastModifiedBy>Kumar Rahul</cp:lastModifiedBy>
  <cp:lastPrinted>2021-06-09T06:20:56Z</cp:lastPrinted>
  <dcterms:created xsi:type="dcterms:W3CDTF">2015-07-15T09:07:54Z</dcterms:created>
  <dcterms:modified xsi:type="dcterms:W3CDTF">2024-11-30T12:53:53Z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8ed580-7b07-4de3-bcfc-baf51b37f0d5_Enabled">
    <vt:lpwstr>True</vt:lpwstr>
  </property>
  <property fmtid="{D5CDD505-2E9C-101B-9397-08002B2CF9AE}" pid="3" name="MSIP_Label_9b8ed580-7b07-4de3-bcfc-baf51b37f0d5_SiteId">
    <vt:lpwstr>04ea39e3-ac5b-4971-937c-8344c97a4509</vt:lpwstr>
  </property>
  <property fmtid="{D5CDD505-2E9C-101B-9397-08002B2CF9AE}" pid="4" name="MSIP_Label_9b8ed580-7b07-4de3-bcfc-baf51b37f0d5_Owner">
    <vt:lpwstr>pnair@tatapower.com</vt:lpwstr>
  </property>
  <property fmtid="{D5CDD505-2E9C-101B-9397-08002B2CF9AE}" pid="5" name="MSIP_Label_9b8ed580-7b07-4de3-bcfc-baf51b37f0d5_SetDate">
    <vt:lpwstr>2021-01-19T09:10:31.3499638Z</vt:lpwstr>
  </property>
  <property fmtid="{D5CDD505-2E9C-101B-9397-08002B2CF9AE}" pid="6" name="MSIP_Label_9b8ed580-7b07-4de3-bcfc-baf51b37f0d5_Name">
    <vt:lpwstr>Public</vt:lpwstr>
  </property>
  <property fmtid="{D5CDD505-2E9C-101B-9397-08002B2CF9AE}" pid="7" name="MSIP_Label_9b8ed580-7b07-4de3-bcfc-baf51b37f0d5_Application">
    <vt:lpwstr>Microsoft Azure Information Protection</vt:lpwstr>
  </property>
  <property fmtid="{D5CDD505-2E9C-101B-9397-08002B2CF9AE}" pid="8" name="MSIP_Label_9b8ed580-7b07-4de3-bcfc-baf51b37f0d5_Extended_MSFT_Method">
    <vt:lpwstr>Automatic</vt:lpwstr>
  </property>
  <property fmtid="{D5CDD505-2E9C-101B-9397-08002B2CF9AE}" pid="9" name="Sensitivity">
    <vt:lpwstr>Public</vt:lpwstr>
  </property>
</Properties>
</file>